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6ADAEE08-5F81-4C94-BB32-0F24101EEA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 DATABASE" sheetId="1" r:id="rId1"/>
    <sheet name="Sheet2" sheetId="3" r:id="rId2"/>
    <sheet name="Sheet1" sheetId="2" r:id="rId3"/>
  </sheets>
  <definedNames>
    <definedName name="_xlnm.Print_Area" localSheetId="2">Sheet1!$A$1:$F$22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6" roundtripDataChecksum="slEi47EBj0k2QOYwa3dwq9vO830cykZtQ00S4VhVOog="/>
    </ext>
  </extLst>
</workbook>
</file>

<file path=xl/calcChain.xml><?xml version="1.0" encoding="utf-8"?>
<calcChain xmlns="http://schemas.openxmlformats.org/spreadsheetml/2006/main">
  <c r="D26" i="2" l="1"/>
  <c r="B27" i="2"/>
  <c r="B26" i="2"/>
  <c r="E22" i="2"/>
  <c r="B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E22" i="1"/>
  <c r="B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2" i="2" l="1"/>
</calcChain>
</file>

<file path=xl/sharedStrings.xml><?xml version="1.0" encoding="utf-8"?>
<sst xmlns="http://schemas.openxmlformats.org/spreadsheetml/2006/main" count="135" uniqueCount="37">
  <si>
    <t>XYZ Company - List of Employees</t>
  </si>
  <si>
    <t/>
  </si>
  <si>
    <t>S. No</t>
  </si>
  <si>
    <t>Name</t>
  </si>
  <si>
    <t>Department</t>
  </si>
  <si>
    <t>Gender</t>
  </si>
  <si>
    <t xml:space="preserve">Monthly Salary </t>
  </si>
  <si>
    <t>Annual Salary</t>
  </si>
  <si>
    <t>Bruce</t>
  </si>
  <si>
    <t>Marketing</t>
  </si>
  <si>
    <t>Male</t>
  </si>
  <si>
    <t>Jacob</t>
  </si>
  <si>
    <t>IT</t>
  </si>
  <si>
    <t>Melvin</t>
  </si>
  <si>
    <t>Finance</t>
  </si>
  <si>
    <t>Alicia</t>
  </si>
  <si>
    <t>Female</t>
  </si>
  <si>
    <t>Paul</t>
  </si>
  <si>
    <t>Hannah</t>
  </si>
  <si>
    <t>Sarah</t>
  </si>
  <si>
    <t>Support</t>
  </si>
  <si>
    <t>Abbott</t>
  </si>
  <si>
    <t>Abel</t>
  </si>
  <si>
    <t>Lucy</t>
  </si>
  <si>
    <t>Jack</t>
  </si>
  <si>
    <t>Aaron</t>
  </si>
  <si>
    <t>Grace</t>
  </si>
  <si>
    <t>Paxton</t>
  </si>
  <si>
    <t xml:space="preserve">
</t>
  </si>
  <si>
    <t>Malcolm</t>
  </si>
  <si>
    <t>Alexandra</t>
  </si>
  <si>
    <t>Alice</t>
  </si>
  <si>
    <t>Lydia</t>
  </si>
  <si>
    <t>Tony</t>
  </si>
  <si>
    <t>Total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</si>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</sst>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Book Antiqua"/>
    </font>
    <font>
      <sz val="11"/>
      <color theme="1"/>
      <name val="Calibri"/>
      <scheme val="minor"/>
    </font>
    <font>
      <b/>
      <i/>
      <sz val="12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0" fontId="3" fillId="0" borderId="0" xfId="0" applyFont="1"/>
    <xf numFmtId="0" fontId="6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/>
    <xf numFmtId="0" fontId="5" fillId="3" borderId="1" xfId="0" applyFont="1" applyFill="1" applyBorder="1" applyAlignment="1"/>
    <xf numFmtId="0" fontId="0" fillId="0" borderId="2" xfId="0" applyFont="1" applyBorder="1" applyAlignment="1"/>
    <xf numFmtId="0" fontId="1" fillId="0" borderId="3" xfId="0" applyFont="1" applyBorder="1" applyAlignment="1"/>
    <xf numFmtId="0" fontId="0" fillId="0" borderId="4" xfId="0" applyFont="1" applyBorder="1" applyAlignment="1"/>
    <xf numFmtId="0" fontId="1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2" fillId="0" borderId="0" xfId="0" applyFont="1" applyAlignment="1"/>
    <xf numFmtId="0" fontId="5" fillId="2" borderId="0" xfId="1" applyFont="1" applyAlignment="1">
      <alignment horizontal="center"/>
    </xf>
  </cellXfs>
  <cellStyles count="2">
    <cellStyle name="20% - Accent5" xfId="1" builtinId="46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color rgb="FF0B8043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Wise Annual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80739153710171"/>
          <c:y val="0.14240891656243673"/>
          <c:w val="0.81674692273776017"/>
          <c:h val="0.77888620975036638"/>
        </c:manualLayout>
      </c:layout>
      <c:bar3DChart>
        <c:barDir val="col"/>
        <c:grouping val="standard"/>
        <c:varyColors val="0"/>
        <c:ser>
          <c:idx val="0"/>
          <c:order val="0"/>
          <c:spPr>
            <a:gradFill>
              <a:gsLst>
                <a:gs pos="100000">
                  <a:schemeClr val="accent5">
                    <a:alpha val="0"/>
                  </a:schemeClr>
                </a:gs>
                <a:gs pos="50000">
                  <a:schemeClr val="accent5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Sheet1!$B$3:$B$21</c:f>
              <c:strCache>
                <c:ptCount val="8"/>
                <c:pt idx="0">
                  <c:v>Bruce</c:v>
                </c:pt>
                <c:pt idx="1">
                  <c:v>Jacob</c:v>
                </c:pt>
                <c:pt idx="2">
                  <c:v>Paul</c:v>
                </c:pt>
                <c:pt idx="3">
                  <c:v>Abel</c:v>
                </c:pt>
                <c:pt idx="4">
                  <c:v>Jack</c:v>
                </c:pt>
                <c:pt idx="5">
                  <c:v>Aaron</c:v>
                </c:pt>
                <c:pt idx="6">
                  <c:v>Malcolm</c:v>
                </c:pt>
                <c:pt idx="7">
                  <c:v>Tony</c:v>
                </c:pt>
              </c:strCache>
            </c:strRef>
          </c:cat>
          <c:val>
            <c:numRef>
              <c:f>Sheet1!$E$3:$E$21</c:f>
              <c:numCache>
                <c:formatCode>0.00</c:formatCode>
                <c:ptCount val="8"/>
                <c:pt idx="0">
                  <c:v>13000</c:v>
                </c:pt>
                <c:pt idx="1">
                  <c:v>30000</c:v>
                </c:pt>
                <c:pt idx="2">
                  <c:v>59000</c:v>
                </c:pt>
                <c:pt idx="3">
                  <c:v>52000</c:v>
                </c:pt>
                <c:pt idx="4">
                  <c:v>44000</c:v>
                </c:pt>
                <c:pt idx="5">
                  <c:v>75000</c:v>
                </c:pt>
                <c:pt idx="6">
                  <c:v>28000</c:v>
                </c:pt>
                <c:pt idx="7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A-47ED-876A-E8150C86B4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915938159"/>
        <c:axId val="1915938575"/>
        <c:axId val="45655887"/>
      </c:bar3DChart>
      <c:catAx>
        <c:axId val="191593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8575"/>
        <c:crosses val="autoZero"/>
        <c:auto val="1"/>
        <c:lblAlgn val="ctr"/>
        <c:lblOffset val="100"/>
        <c:noMultiLvlLbl val="0"/>
      </c:catAx>
      <c:valAx>
        <c:axId val="19159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8159"/>
        <c:crosses val="autoZero"/>
        <c:crossBetween val="between"/>
      </c:valAx>
      <c:serAx>
        <c:axId val="4565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938575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8707/logo-unicef-by-martouf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180972</xdr:colOff>
      <xdr:row>3</xdr:row>
      <xdr:rowOff>85725</xdr:rowOff>
    </xdr:from>
    <xdr:to>
      <xdr:col>14</xdr:col>
      <xdr:colOff>180975</xdr:colOff>
      <xdr:row>29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5032AF-CB6C-9836-6A09-9F98F00C5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171449</xdr:colOff>
      <xdr:row>0</xdr:row>
      <xdr:rowOff>104775</xdr:rowOff>
    </xdr:from>
    <xdr:to>
      <xdr:col>7</xdr:col>
      <xdr:colOff>333374</xdr:colOff>
      <xdr:row>2</xdr:row>
      <xdr:rowOff>176414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A247F8-645E-25A7-F573-9FC72BF1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419724" y="104775"/>
          <a:ext cx="914400" cy="43358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8AB104-C78A-4CC3-9B24-759EC0708D41}" name="EmployeewiseAnnualSalary" displayName="EmployeewiseAnnualSalary" ref="A2:F21" headerRowDxfId="13" dataDxfId="12">
  <autoFilter ref="A2:F21" xr:uid="{A28AB104-C78A-4CC3-9B24-759EC0708D41}">
    <filterColumn colId="0">
      <customFilters>
        <customFilter operator="notEqual" val=" "/>
      </customFilters>
    </filterColumn>
    <filterColumn colId="2">
      <filters>
        <filter val="IT"/>
        <filter val="Marketing"/>
        <filter val="Support"/>
      </filters>
    </filterColumn>
    <filterColumn colId="3">
      <filters>
        <filter val="Male"/>
      </filters>
    </filterColumn>
  </autoFilter>
  <tableColumns count="6">
    <tableColumn id="1" xr3:uid="{872EFE76-C1A5-4017-8DB8-0E837DFA1FC5}" name="S. No" totalsRowLabel="Total" dataDxfId="11" totalsRowDxfId="10"/>
    <tableColumn id="2" xr3:uid="{AE6C0BF3-4A20-48EB-9AB2-E8AF03F6BEA1}" name="Name" dataDxfId="9" totalsRowDxfId="8"/>
    <tableColumn id="3" xr3:uid="{32F867D6-6023-4FB2-96A0-21B3B1F65EF3}" name="Department" dataDxfId="7" totalsRowDxfId="6"/>
    <tableColumn id="4" xr3:uid="{54BD3076-9EE6-4251-9880-4C5AA46CA00A}" name="Gender" dataDxfId="5" totalsRowDxfId="4"/>
    <tableColumn id="5" xr3:uid="{539CB266-4477-4C36-AA6C-59A8E085B430}" name="Monthly Salary " dataDxfId="3" totalsRowDxfId="2"/>
    <tableColumn id="6" xr3:uid="{34A165E3-8F4B-4610-827F-DC0E7A683749}" name="Annual Salary" dataDxfId="1" totalsRowDxfId="0">
      <calculatedColumnFormula>SUM(E3*12)</calculatedColumnFormula>
    </tableColumn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</sheetPr>
  <dimension ref="A1:F1000"/>
  <sheetViews>
    <sheetView tabSelected="1" workbookViewId="0">
      <selection activeCell="A2" sqref="A2:F21"/>
    </sheetView>
  </sheetViews>
  <sheetFormatPr defaultColWidth="14.42578125" defaultRowHeight="15" customHeight="1" x14ac:dyDescent="0.25"/>
  <cols>
    <col min="1" max="1" width="28.28515625" customWidth="1"/>
    <col min="2" max="4" width="10.7109375" customWidth="1"/>
    <col min="5" max="5" width="13.7109375" customWidth="1"/>
    <col min="6" max="6" width="13.85546875" customWidth="1"/>
    <col min="7" max="26" width="8.7109375" customWidth="1"/>
  </cols>
  <sheetData>
    <row r="1" spans="1:6" ht="17.25" customHeight="1" x14ac:dyDescent="0.3">
      <c r="A1" s="15" t="s">
        <v>0</v>
      </c>
      <c r="B1" s="15"/>
      <c r="C1" s="15"/>
      <c r="D1" s="15"/>
      <c r="E1" s="15"/>
      <c r="F1" s="1" t="s">
        <v>1</v>
      </c>
    </row>
    <row r="2" spans="1:6" ht="14.25" customHeight="1" x14ac:dyDescent="0.25">
      <c r="A2" s="5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4.25" customHeight="1" x14ac:dyDescent="0.25">
      <c r="A3" s="1">
        <v>1</v>
      </c>
      <c r="B3" s="1" t="s">
        <v>8</v>
      </c>
      <c r="C3" s="1" t="s">
        <v>9</v>
      </c>
      <c r="D3" s="1" t="s">
        <v>10</v>
      </c>
      <c r="E3" s="3">
        <v>13000</v>
      </c>
      <c r="F3" s="3">
        <f>E3*12</f>
        <v>156000</v>
      </c>
    </row>
    <row r="4" spans="1:6" ht="14.25" customHeight="1" x14ac:dyDescent="0.25">
      <c r="A4" s="1">
        <v>2</v>
      </c>
      <c r="B4" s="1" t="s">
        <v>11</v>
      </c>
      <c r="C4" s="1" t="s">
        <v>12</v>
      </c>
      <c r="D4" s="1" t="s">
        <v>10</v>
      </c>
      <c r="E4" s="3">
        <v>30000</v>
      </c>
      <c r="F4" s="3">
        <f t="shared" ref="F4:F19" si="0">SUM(E4*12)</f>
        <v>360000</v>
      </c>
    </row>
    <row r="5" spans="1:6" ht="14.25" customHeight="1" x14ac:dyDescent="0.25">
      <c r="A5" s="1">
        <v>3</v>
      </c>
      <c r="B5" s="1" t="s">
        <v>13</v>
      </c>
      <c r="C5" s="1" t="s">
        <v>14</v>
      </c>
      <c r="D5" s="1" t="s">
        <v>10</v>
      </c>
      <c r="E5" s="3">
        <v>80000</v>
      </c>
      <c r="F5" s="3">
        <f t="shared" si="0"/>
        <v>960000</v>
      </c>
    </row>
    <row r="6" spans="1:6" ht="14.25" customHeight="1" x14ac:dyDescent="0.25">
      <c r="A6" s="1">
        <v>4</v>
      </c>
      <c r="B6" s="1" t="s">
        <v>15</v>
      </c>
      <c r="C6" s="1" t="s">
        <v>9</v>
      </c>
      <c r="D6" s="1" t="s">
        <v>16</v>
      </c>
      <c r="E6" s="3">
        <v>25000</v>
      </c>
      <c r="F6" s="3">
        <f t="shared" si="0"/>
        <v>300000</v>
      </c>
    </row>
    <row r="7" spans="1:6" ht="14.25" customHeight="1" x14ac:dyDescent="0.25">
      <c r="A7" s="1">
        <v>5</v>
      </c>
      <c r="B7" s="1" t="s">
        <v>17</v>
      </c>
      <c r="C7" s="1" t="s">
        <v>9</v>
      </c>
      <c r="D7" s="1" t="s">
        <v>10</v>
      </c>
      <c r="E7" s="3">
        <v>59000</v>
      </c>
      <c r="F7" s="3">
        <f t="shared" si="0"/>
        <v>708000</v>
      </c>
    </row>
    <row r="8" spans="1:6" ht="14.25" customHeight="1" x14ac:dyDescent="0.25">
      <c r="A8" s="1">
        <v>6</v>
      </c>
      <c r="B8" s="1" t="s">
        <v>18</v>
      </c>
      <c r="C8" s="1" t="s">
        <v>14</v>
      </c>
      <c r="D8" s="1" t="s">
        <v>16</v>
      </c>
      <c r="E8" s="3">
        <v>10000</v>
      </c>
      <c r="F8" s="3">
        <f t="shared" si="0"/>
        <v>120000</v>
      </c>
    </row>
    <row r="9" spans="1:6" ht="14.25" customHeight="1" x14ac:dyDescent="0.25">
      <c r="A9" s="1">
        <v>7</v>
      </c>
      <c r="B9" s="1" t="s">
        <v>19</v>
      </c>
      <c r="C9" s="1" t="s">
        <v>20</v>
      </c>
      <c r="D9" s="1" t="s">
        <v>16</v>
      </c>
      <c r="E9" s="3">
        <v>44000</v>
      </c>
      <c r="F9" s="3">
        <f t="shared" si="0"/>
        <v>528000</v>
      </c>
    </row>
    <row r="10" spans="1:6" ht="14.25" customHeight="1" x14ac:dyDescent="0.25">
      <c r="A10" s="1">
        <v>8</v>
      </c>
      <c r="B10" s="1" t="s">
        <v>21</v>
      </c>
      <c r="C10" s="1" t="s">
        <v>14</v>
      </c>
      <c r="D10" s="1" t="s">
        <v>10</v>
      </c>
      <c r="E10" s="3">
        <v>44000</v>
      </c>
      <c r="F10" s="3">
        <f t="shared" si="0"/>
        <v>528000</v>
      </c>
    </row>
    <row r="11" spans="1:6" ht="14.25" customHeight="1" x14ac:dyDescent="0.25">
      <c r="A11" s="1">
        <v>9</v>
      </c>
      <c r="B11" s="1" t="s">
        <v>22</v>
      </c>
      <c r="C11" s="1" t="s">
        <v>20</v>
      </c>
      <c r="D11" s="1" t="s">
        <v>10</v>
      </c>
      <c r="E11" s="3">
        <v>52000</v>
      </c>
      <c r="F11" s="3">
        <f t="shared" si="0"/>
        <v>624000</v>
      </c>
    </row>
    <row r="12" spans="1:6" ht="14.25" customHeight="1" x14ac:dyDescent="0.25">
      <c r="A12" s="1">
        <v>10</v>
      </c>
      <c r="B12" s="1" t="s">
        <v>23</v>
      </c>
      <c r="C12" s="1" t="s">
        <v>14</v>
      </c>
      <c r="D12" s="1" t="s">
        <v>16</v>
      </c>
      <c r="E12" s="3">
        <v>20000</v>
      </c>
      <c r="F12" s="3">
        <f t="shared" si="0"/>
        <v>240000</v>
      </c>
    </row>
    <row r="13" spans="1:6" ht="14.25" customHeight="1" x14ac:dyDescent="0.25">
      <c r="A13" s="1">
        <v>11</v>
      </c>
      <c r="B13" s="1" t="s">
        <v>24</v>
      </c>
      <c r="C13" s="1" t="s">
        <v>20</v>
      </c>
      <c r="D13" s="1" t="s">
        <v>10</v>
      </c>
      <c r="E13" s="3">
        <v>44000</v>
      </c>
      <c r="F13" s="3">
        <f t="shared" si="0"/>
        <v>528000</v>
      </c>
    </row>
    <row r="14" spans="1:6" ht="14.25" customHeight="1" x14ac:dyDescent="0.25">
      <c r="A14" s="1">
        <v>12</v>
      </c>
      <c r="B14" s="1" t="s">
        <v>25</v>
      </c>
      <c r="C14" s="1" t="s">
        <v>9</v>
      </c>
      <c r="D14" s="1" t="s">
        <v>10</v>
      </c>
      <c r="E14" s="3">
        <v>75000</v>
      </c>
      <c r="F14" s="3">
        <f t="shared" si="0"/>
        <v>900000</v>
      </c>
    </row>
    <row r="15" spans="1:6" ht="14.25" customHeight="1" x14ac:dyDescent="0.25">
      <c r="A15" s="1">
        <v>13</v>
      </c>
      <c r="B15" s="1" t="s">
        <v>26</v>
      </c>
      <c r="C15" s="1" t="s">
        <v>9</v>
      </c>
      <c r="D15" s="1" t="s">
        <v>16</v>
      </c>
      <c r="E15" s="3">
        <v>9000</v>
      </c>
      <c r="F15" s="3">
        <f t="shared" si="0"/>
        <v>108000</v>
      </c>
    </row>
    <row r="16" spans="1:6" ht="14.25" customHeight="1" x14ac:dyDescent="0.25">
      <c r="B16" s="1" t="s">
        <v>27</v>
      </c>
      <c r="C16" s="1" t="s">
        <v>12</v>
      </c>
      <c r="D16" s="1" t="s">
        <v>10</v>
      </c>
      <c r="E16" s="3">
        <v>40000</v>
      </c>
      <c r="F16" s="3">
        <f t="shared" si="0"/>
        <v>480000</v>
      </c>
    </row>
    <row r="17" spans="1:6" ht="14.25" customHeight="1" x14ac:dyDescent="0.25">
      <c r="A17" s="4" t="s">
        <v>28</v>
      </c>
      <c r="B17" s="1" t="s">
        <v>29</v>
      </c>
      <c r="C17" s="1" t="s">
        <v>12</v>
      </c>
      <c r="D17" s="1" t="s">
        <v>10</v>
      </c>
      <c r="E17" s="3">
        <v>28000</v>
      </c>
      <c r="F17" s="3">
        <f t="shared" si="0"/>
        <v>336000</v>
      </c>
    </row>
    <row r="18" spans="1:6" ht="14.25" customHeight="1" x14ac:dyDescent="0.25">
      <c r="A18" s="1">
        <v>16</v>
      </c>
      <c r="B18" s="1" t="s">
        <v>30</v>
      </c>
      <c r="C18" s="1" t="s">
        <v>20</v>
      </c>
      <c r="D18" s="1" t="s">
        <v>16</v>
      </c>
      <c r="E18" s="3">
        <v>61000</v>
      </c>
      <c r="F18" s="3">
        <f t="shared" si="0"/>
        <v>732000</v>
      </c>
    </row>
    <row r="19" spans="1:6" ht="14.25" customHeight="1" x14ac:dyDescent="0.25">
      <c r="A19" s="1">
        <v>17</v>
      </c>
      <c r="B19" s="1" t="s">
        <v>31</v>
      </c>
      <c r="C19" s="1" t="s">
        <v>9</v>
      </c>
      <c r="D19" s="1" t="s">
        <v>16</v>
      </c>
      <c r="E19" s="3">
        <v>59000</v>
      </c>
      <c r="F19" s="3">
        <f t="shared" si="0"/>
        <v>708000</v>
      </c>
    </row>
    <row r="20" spans="1:6" ht="14.25" customHeight="1" x14ac:dyDescent="0.25">
      <c r="A20" s="1">
        <v>18</v>
      </c>
      <c r="B20" s="1" t="s">
        <v>32</v>
      </c>
      <c r="C20" s="1" t="s">
        <v>12</v>
      </c>
      <c r="D20" s="1" t="s">
        <v>16</v>
      </c>
      <c r="E20" s="3">
        <v>18000</v>
      </c>
      <c r="F20" s="3">
        <f>E20*12</f>
        <v>216000</v>
      </c>
    </row>
    <row r="21" spans="1:6" ht="14.25" customHeight="1" x14ac:dyDescent="0.25">
      <c r="A21" s="1">
        <v>19</v>
      </c>
      <c r="B21" s="1" t="s">
        <v>33</v>
      </c>
      <c r="C21" s="1" t="s">
        <v>9</v>
      </c>
      <c r="D21" s="1" t="s">
        <v>10</v>
      </c>
      <c r="E21" s="3">
        <v>13000</v>
      </c>
      <c r="F21" s="3">
        <f>SUM(E21*12)</f>
        <v>156000</v>
      </c>
    </row>
    <row r="22" spans="1:6" ht="14.25" customHeight="1" x14ac:dyDescent="0.25">
      <c r="B22" s="1">
        <f>COUNTA(B3:B21)</f>
        <v>19</v>
      </c>
      <c r="E22" s="3">
        <f>AVERAGE(E2:E21)</f>
        <v>38105.26315789474</v>
      </c>
      <c r="F22" s="3"/>
    </row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E1"/>
  </mergeCells>
  <conditionalFormatting sqref="F3:F21">
    <cfRule type="notContainsBlanks" dxfId="15" priority="1">
      <formula>LEN(TRIM(F3))&gt;0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C3AFD-3169-4A27-955E-9F95A9540060}">
  <dimension ref="A1"/>
  <sheetViews>
    <sheetView workbookViewId="0">
      <selection sqref="A1:F20"/>
    </sheetView>
  </sheetViews>
  <sheetFormatPr defaultRowHeight="15" x14ac:dyDescent="0.25"/>
  <cols>
    <col min="6" max="6" width="9.140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workbookViewId="0">
      <selection sqref="A1:F22"/>
    </sheetView>
  </sheetViews>
  <sheetFormatPr defaultColWidth="14.42578125" defaultRowHeight="15" customHeight="1" x14ac:dyDescent="0.25"/>
  <cols>
    <col min="1" max="1" width="8.7109375" customWidth="1"/>
    <col min="2" max="2" width="9.28515625" customWidth="1"/>
    <col min="3" max="3" width="15.140625" customWidth="1"/>
    <col min="4" max="4" width="10.42578125" customWidth="1"/>
    <col min="5" max="5" width="18.5703125" customWidth="1"/>
    <col min="6" max="6" width="16.5703125" customWidth="1"/>
    <col min="7" max="7" width="11.28515625" customWidth="1"/>
    <col min="8" max="26" width="8.7109375" customWidth="1"/>
  </cols>
  <sheetData>
    <row r="1" spans="1:9" ht="14.25" customHeight="1" x14ac:dyDescent="0.25">
      <c r="A1" s="16" t="s">
        <v>0</v>
      </c>
      <c r="B1" s="16"/>
      <c r="C1" s="16"/>
      <c r="D1" s="16"/>
      <c r="E1" s="16"/>
      <c r="F1" s="16"/>
    </row>
    <row r="2" spans="1:9" ht="14.25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9" ht="14.25" customHeight="1" x14ac:dyDescent="0.25">
      <c r="A3" s="4">
        <v>1</v>
      </c>
      <c r="B3" s="4" t="s">
        <v>8</v>
      </c>
      <c r="C3" s="4" t="s">
        <v>9</v>
      </c>
      <c r="D3" s="4" t="s">
        <v>10</v>
      </c>
      <c r="E3" s="3">
        <v>13000</v>
      </c>
      <c r="F3" s="3">
        <f>E3*12</f>
        <v>156000</v>
      </c>
    </row>
    <row r="4" spans="1:9" ht="14.25" customHeight="1" x14ac:dyDescent="0.25">
      <c r="A4" s="4">
        <v>2</v>
      </c>
      <c r="B4" s="4" t="s">
        <v>11</v>
      </c>
      <c r="C4" s="4" t="s">
        <v>12</v>
      </c>
      <c r="D4" s="4" t="s">
        <v>10</v>
      </c>
      <c r="E4" s="3">
        <v>30000</v>
      </c>
      <c r="F4" s="3">
        <f t="shared" ref="F4:F19" si="0">SUM(E4*12)</f>
        <v>360000</v>
      </c>
    </row>
    <row r="5" spans="1:9" ht="14.25" hidden="1" customHeight="1" x14ac:dyDescent="0.25">
      <c r="A5" s="4">
        <v>3</v>
      </c>
      <c r="B5" s="4" t="s">
        <v>13</v>
      </c>
      <c r="C5" s="4" t="s">
        <v>14</v>
      </c>
      <c r="D5" s="4" t="s">
        <v>10</v>
      </c>
      <c r="E5" s="3">
        <v>80000</v>
      </c>
      <c r="F5" s="3">
        <f t="shared" si="0"/>
        <v>960000</v>
      </c>
    </row>
    <row r="6" spans="1:9" ht="14.25" hidden="1" customHeight="1" x14ac:dyDescent="0.25">
      <c r="A6" s="4">
        <v>4</v>
      </c>
      <c r="B6" s="4" t="s">
        <v>15</v>
      </c>
      <c r="C6" s="4" t="s">
        <v>9</v>
      </c>
      <c r="D6" s="4" t="s">
        <v>16</v>
      </c>
      <c r="E6" s="3">
        <v>25000</v>
      </c>
      <c r="F6" s="3">
        <f t="shared" si="0"/>
        <v>300000</v>
      </c>
    </row>
    <row r="7" spans="1:9" ht="14.25" customHeight="1" x14ac:dyDescent="0.25">
      <c r="A7" s="4">
        <v>5</v>
      </c>
      <c r="B7" s="4" t="s">
        <v>17</v>
      </c>
      <c r="C7" s="4" t="s">
        <v>9</v>
      </c>
      <c r="D7" s="4" t="s">
        <v>10</v>
      </c>
      <c r="E7" s="3">
        <v>59000</v>
      </c>
      <c r="F7" s="3">
        <f t="shared" si="0"/>
        <v>708000</v>
      </c>
      <c r="I7" s="6"/>
    </row>
    <row r="8" spans="1:9" ht="14.25" hidden="1" customHeight="1" x14ac:dyDescent="0.25">
      <c r="A8" s="4">
        <v>6</v>
      </c>
      <c r="B8" s="4" t="s">
        <v>18</v>
      </c>
      <c r="C8" s="4" t="s">
        <v>14</v>
      </c>
      <c r="D8" s="4" t="s">
        <v>16</v>
      </c>
      <c r="E8" s="3">
        <v>10000</v>
      </c>
      <c r="F8" s="3">
        <f t="shared" si="0"/>
        <v>120000</v>
      </c>
    </row>
    <row r="9" spans="1:9" ht="14.25" hidden="1" customHeight="1" x14ac:dyDescent="0.25">
      <c r="A9" s="4">
        <v>7</v>
      </c>
      <c r="B9" s="4" t="s">
        <v>19</v>
      </c>
      <c r="C9" s="4" t="s">
        <v>20</v>
      </c>
      <c r="D9" s="4" t="s">
        <v>16</v>
      </c>
      <c r="E9" s="3">
        <v>44000</v>
      </c>
      <c r="F9" s="3">
        <f t="shared" si="0"/>
        <v>528000</v>
      </c>
    </row>
    <row r="10" spans="1:9" ht="14.25" hidden="1" customHeight="1" x14ac:dyDescent="0.25">
      <c r="A10" s="4">
        <v>8</v>
      </c>
      <c r="B10" s="4" t="s">
        <v>21</v>
      </c>
      <c r="C10" s="4" t="s">
        <v>14</v>
      </c>
      <c r="D10" s="4" t="s">
        <v>10</v>
      </c>
      <c r="E10" s="3">
        <v>44000</v>
      </c>
      <c r="F10" s="3">
        <f t="shared" si="0"/>
        <v>528000</v>
      </c>
    </row>
    <row r="11" spans="1:9" ht="14.25" customHeight="1" x14ac:dyDescent="0.25">
      <c r="A11" s="4">
        <v>9</v>
      </c>
      <c r="B11" s="4" t="s">
        <v>22</v>
      </c>
      <c r="C11" s="4" t="s">
        <v>20</v>
      </c>
      <c r="D11" s="4" t="s">
        <v>10</v>
      </c>
      <c r="E11" s="3">
        <v>52000</v>
      </c>
      <c r="F11" s="3">
        <f t="shared" si="0"/>
        <v>624000</v>
      </c>
    </row>
    <row r="12" spans="1:9" ht="14.25" hidden="1" customHeight="1" x14ac:dyDescent="0.25">
      <c r="A12" s="4">
        <v>10</v>
      </c>
      <c r="B12" s="4" t="s">
        <v>23</v>
      </c>
      <c r="C12" s="4" t="s">
        <v>14</v>
      </c>
      <c r="D12" s="4" t="s">
        <v>16</v>
      </c>
      <c r="E12" s="3">
        <v>20000</v>
      </c>
      <c r="F12" s="3">
        <f t="shared" si="0"/>
        <v>240000</v>
      </c>
    </row>
    <row r="13" spans="1:9" ht="14.25" customHeight="1" x14ac:dyDescent="0.25">
      <c r="A13" s="4">
        <v>11</v>
      </c>
      <c r="B13" s="4" t="s">
        <v>24</v>
      </c>
      <c r="C13" s="4" t="s">
        <v>20</v>
      </c>
      <c r="D13" s="4" t="s">
        <v>10</v>
      </c>
      <c r="E13" s="3">
        <v>44000</v>
      </c>
      <c r="F13" s="3">
        <f t="shared" si="0"/>
        <v>528000</v>
      </c>
    </row>
    <row r="14" spans="1:9" ht="14.25" customHeight="1" x14ac:dyDescent="0.25">
      <c r="A14" s="4">
        <v>12</v>
      </c>
      <c r="B14" s="4" t="s">
        <v>25</v>
      </c>
      <c r="C14" s="4" t="s">
        <v>9</v>
      </c>
      <c r="D14" s="4" t="s">
        <v>10</v>
      </c>
      <c r="E14" s="3">
        <v>75000</v>
      </c>
      <c r="F14" s="3">
        <f t="shared" si="0"/>
        <v>900000</v>
      </c>
    </row>
    <row r="15" spans="1:9" ht="14.25" hidden="1" customHeight="1" x14ac:dyDescent="0.25">
      <c r="A15" s="4">
        <v>13</v>
      </c>
      <c r="B15" s="4" t="s">
        <v>26</v>
      </c>
      <c r="C15" s="4" t="s">
        <v>9</v>
      </c>
      <c r="D15" s="4" t="s">
        <v>16</v>
      </c>
      <c r="E15" s="3">
        <v>9000</v>
      </c>
      <c r="F15" s="3">
        <f t="shared" si="0"/>
        <v>108000</v>
      </c>
    </row>
    <row r="16" spans="1:9" ht="14.25" hidden="1" customHeight="1" x14ac:dyDescent="0.25">
      <c r="B16" s="4" t="s">
        <v>27</v>
      </c>
      <c r="C16" s="4" t="s">
        <v>12</v>
      </c>
      <c r="D16" s="4" t="s">
        <v>10</v>
      </c>
      <c r="E16" s="3">
        <v>40000</v>
      </c>
      <c r="F16" s="3">
        <f t="shared" si="0"/>
        <v>480000</v>
      </c>
    </row>
    <row r="17" spans="1:6" ht="14.25" customHeight="1" x14ac:dyDescent="0.25">
      <c r="A17" s="4" t="s">
        <v>28</v>
      </c>
      <c r="B17" s="4" t="s">
        <v>29</v>
      </c>
      <c r="C17" s="4" t="s">
        <v>12</v>
      </c>
      <c r="D17" s="4" t="s">
        <v>10</v>
      </c>
      <c r="E17" s="3">
        <v>28000</v>
      </c>
      <c r="F17" s="3">
        <f t="shared" si="0"/>
        <v>336000</v>
      </c>
    </row>
    <row r="18" spans="1:6" ht="14.25" hidden="1" customHeight="1" x14ac:dyDescent="0.25">
      <c r="A18" s="4">
        <v>16</v>
      </c>
      <c r="B18" s="4" t="s">
        <v>30</v>
      </c>
      <c r="C18" s="4" t="s">
        <v>20</v>
      </c>
      <c r="D18" s="4" t="s">
        <v>16</v>
      </c>
      <c r="E18" s="3">
        <v>61000</v>
      </c>
      <c r="F18" s="3">
        <f t="shared" si="0"/>
        <v>732000</v>
      </c>
    </row>
    <row r="19" spans="1:6" ht="14.25" hidden="1" customHeight="1" x14ac:dyDescent="0.25">
      <c r="A19" s="4">
        <v>17</v>
      </c>
      <c r="B19" s="4" t="s">
        <v>31</v>
      </c>
      <c r="C19" s="4" t="s">
        <v>9</v>
      </c>
      <c r="D19" s="4" t="s">
        <v>16</v>
      </c>
      <c r="E19" s="3">
        <v>59000</v>
      </c>
      <c r="F19" s="3">
        <f t="shared" si="0"/>
        <v>708000</v>
      </c>
    </row>
    <row r="20" spans="1:6" ht="14.25" hidden="1" customHeight="1" x14ac:dyDescent="0.25">
      <c r="A20" s="4">
        <v>18</v>
      </c>
      <c r="B20" s="4" t="s">
        <v>32</v>
      </c>
      <c r="C20" s="4" t="s">
        <v>12</v>
      </c>
      <c r="D20" s="4" t="s">
        <v>16</v>
      </c>
      <c r="E20" s="3">
        <v>18000</v>
      </c>
      <c r="F20" s="3">
        <f>E20*12</f>
        <v>216000</v>
      </c>
    </row>
    <row r="21" spans="1:6" ht="14.25" customHeight="1" x14ac:dyDescent="0.25">
      <c r="A21" s="4">
        <v>19</v>
      </c>
      <c r="B21" s="4" t="s">
        <v>33</v>
      </c>
      <c r="C21" s="4" t="s">
        <v>9</v>
      </c>
      <c r="D21" s="4" t="s">
        <v>10</v>
      </c>
      <c r="E21" s="3">
        <v>13000</v>
      </c>
      <c r="F21" s="3">
        <f>SUM(E21*12)</f>
        <v>156000</v>
      </c>
    </row>
    <row r="22" spans="1:6" ht="14.25" customHeight="1" x14ac:dyDescent="0.25">
      <c r="A22" s="7" t="s">
        <v>34</v>
      </c>
      <c r="B22" s="4">
        <f>COUNTA(B3:B21)</f>
        <v>19</v>
      </c>
      <c r="E22" s="3">
        <f>AVERAGE(E2:E21)</f>
        <v>38105.26315789474</v>
      </c>
      <c r="F22" s="3">
        <f>SUM(F3:F20)</f>
        <v>8532000</v>
      </c>
    </row>
    <row r="23" spans="1:6" ht="14.25" customHeight="1" x14ac:dyDescent="0.25">
      <c r="C23" s="14"/>
    </row>
    <row r="24" spans="1:6" ht="14.25" customHeight="1" thickBot="1" x14ac:dyDescent="0.3"/>
    <row r="25" spans="1:6" ht="14.25" customHeight="1" x14ac:dyDescent="0.25">
      <c r="A25" s="8" t="s">
        <v>5</v>
      </c>
      <c r="B25" s="9"/>
    </row>
    <row r="26" spans="1:6" ht="14.25" customHeight="1" x14ac:dyDescent="0.25">
      <c r="A26" s="10" t="s">
        <v>35</v>
      </c>
      <c r="B26" s="11">
        <f>COUNTIF(EmployeewiseAnnualSalary[Gender],"Male")</f>
        <v>11</v>
      </c>
      <c r="D26">
        <f>SUMIF(EmployeewiseAnnualSalary[Department],"Marketing",EmployeewiseAnnualSalary[[Monthly Salary ]])</f>
        <v>253000</v>
      </c>
    </row>
    <row r="27" spans="1:6" ht="14.25" customHeight="1" thickBot="1" x14ac:dyDescent="0.3">
      <c r="A27" s="12" t="s">
        <v>36</v>
      </c>
      <c r="B27" s="13">
        <f>COUNTIF(EmployeewiseAnnualSalary[Gender],"Female")</f>
        <v>8</v>
      </c>
    </row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1">
    <mergeCell ref="A1:F1"/>
  </mergeCells>
  <conditionalFormatting sqref="F3:F21">
    <cfRule type="notContainsBlanks" dxfId="14" priority="8">
      <formula>LEN(TRIM(F3))&gt;0</formula>
    </cfRule>
  </conditionalFormatting>
  <conditionalFormatting sqref="F3:F21">
    <cfRule type="iconSet" priority="1">
      <iconSet iconSet="3TrafficLights2">
        <cfvo type="percent" val="0"/>
        <cfvo type="num" val="200000"/>
        <cfvo type="num" val="500000"/>
      </iconSet>
    </cfRule>
    <cfRule type="iconSet" priority="4">
      <iconSet iconSet="3TrafficLights2" showValue="0">
        <cfvo type="percent" val="0"/>
        <cfvo type="num" val="0"/>
        <cfvo type="num" val="50000"/>
      </iconSet>
    </cfRule>
    <cfRule type="iconSet" priority="5">
      <iconSet iconSet="3TrafficLights2">
        <cfvo type="percent" val="0"/>
        <cfvo type="num" val="20000"/>
        <cfvo type="num" val="50000"/>
      </iconSet>
    </cfRule>
    <cfRule type="iconSet" priority="7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0.7" right="0.7" top="0.75" bottom="0.75" header="0" footer="0"/>
  <pageSetup orientation="landscape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9983A42-B684-488D-998F-66B5D2896549}">
            <x14:iconSet custom="1">
              <x14:cfvo type="percent">
                <xm:f>0</xm:f>
              </x14:cfvo>
              <x14:cfvo type="formula">
                <xm:f>20000</xm:f>
              </x14:cfvo>
              <x14:cfvo type="formula">
                <xm:f>50000</xm:f>
              </x14:cfvo>
              <x14:cfIcon iconSet="3TrafficLights2" iconId="0"/>
              <x14:cfIcon iconSet="3TrafficLights2" iconId="1"/>
              <x14:cfIcon iconSet="3TrafficLights2" iconId="2"/>
            </x14:iconSet>
          </x14:cfRule>
          <xm:sqref>F3:F21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EMPLOYEE DATABASE</vt:lpstr>
      <vt:lpstr>Sheet2</vt:lpstr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2026-03-03T21:54:59Z</cp:lastPrinted>
  <dcterms:created xsi:type="dcterms:W3CDTF">2025-02-22T09:19:17Z</dcterms:created>
  <dcterms:modified xsi:type="dcterms:W3CDTF">2026-03-06T11:02:24Z</dcterms:modified>
</cp:coreProperties>
</file>